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/>
  <workbookPr defaultThemeVersion="124226"/>
  <mc:AlternateContent xmlns:mc="http://schemas.openxmlformats.org/markup-compatibility/2006">
    <mc:Choice Requires="x15">
      <x15ac:absPath xmlns:x15ac="http://schemas.microsoft.com/office/spreadsheetml/2010/11/ac" url="C:\Archvos_usuario_slurm\PEGA\Empleadores\APIUX\Ministerio_de_Energia\GestionaEnergia\Artefactos_Software\Fuentes\Desa\gobefi\GobEfi.OrquestadorGesp\Reportes\ReporteControlDeCarga\"/>
    </mc:Choice>
  </mc:AlternateContent>
  <xr:revisionPtr revIDLastSave="0" documentId="13_ncr:1_{657FF885-15D4-4DCC-B709-EFC3EC12EE72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Resumen" sheetId="1" r:id="rId1"/>
    <sheet name="Resumen_por_edificio" sheetId="2" r:id="rId2"/>
    <sheet name="Resumen_por_medidor" sheetId="3" r:id="rId3"/>
  </sheets>
  <externalReferences>
    <externalReference r:id="rId4"/>
  </externalReferences>
  <definedNames>
    <definedName name="_xlnm._FilterDatabase" localSheetId="1" hidden="1">Resumen_por_edificio!$A$6:$G$7</definedName>
    <definedName name="area_impresion" localSheetId="1">#REF!</definedName>
    <definedName name="area_impresion" localSheetId="2">#REF!</definedName>
    <definedName name="area_impresion">#REF!</definedName>
    <definedName name="eee" localSheetId="1">#REF!</definedName>
    <definedName name="eee" localSheetId="2">#REF!</definedName>
    <definedName name="eee">#REF!</definedName>
    <definedName name="Energéticos">[1]Hoja2!$A$3:$A$9</definedName>
    <definedName name="gee" localSheetId="1">#REF!</definedName>
    <definedName name="gee" localSheetId="2">#REF!</definedName>
    <definedName name="gee">#REF!</definedName>
    <definedName name="tabla1" localSheetId="1">#REF!</definedName>
    <definedName name="tabla1" localSheetId="2">#REF!</definedName>
    <definedName name="tabla1">#REF!</definedName>
  </definedNames>
  <calcPr calcId="191029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4" i="3" l="1"/>
  <c r="G3" i="3"/>
  <c r="G2" i="3"/>
  <c r="D5" i="2"/>
  <c r="E5" i="2"/>
  <c r="C4" i="1"/>
  <c r="G7" i="2"/>
  <c r="V7" i="3"/>
  <c r="U7" i="3"/>
  <c r="C5" i="1"/>
  <c r="E10" i="1"/>
  <c r="F10" i="1"/>
  <c r="G10" i="1"/>
  <c r="H10" i="1"/>
  <c r="I10" i="1"/>
  <c r="J10" i="1"/>
  <c r="K10" i="1"/>
  <c r="L10" i="1"/>
  <c r="M10" i="1"/>
  <c r="N10" i="1"/>
  <c r="D10" i="1"/>
  <c r="C10" i="1"/>
  <c r="C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García Picart</author>
  </authors>
  <commentList>
    <comment ref="B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Luis García Picart:</t>
        </r>
        <r>
          <rPr>
            <sz val="9"/>
            <color indexed="81"/>
            <rFont val="Tahoma"/>
            <family val="2"/>
          </rPr>
          <t xml:space="preserve">
Tabla División campo Reporta PMG</t>
        </r>
      </text>
    </comment>
  </commentList>
</comments>
</file>

<file path=xl/sharedStrings.xml><?xml version="1.0" encoding="utf-8"?>
<sst xmlns="http://schemas.openxmlformats.org/spreadsheetml/2006/main" count="89" uniqueCount="52">
  <si>
    <t>Resumen:</t>
  </si>
  <si>
    <t>Control resumen global:</t>
  </si>
  <si>
    <t>¿Tiene al menos 12 meses reportados en todos sus edificios que reportan?</t>
  </si>
  <si>
    <t>Número de edificios con información mínima</t>
  </si>
  <si>
    <t>Porcentaje edificios con información mínima</t>
  </si>
  <si>
    <t>Cuadro resumen por mes: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</si>
  <si>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</si>
  <si>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</si>
  <si>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</si>
  <si>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</si>
  <si>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</si>
  <si>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</si>
  <si>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</si>
  <si>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</si>
  <si>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</si>
  <si>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</si>
  <si>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</si>
  <si>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</si>
  <si>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Número de edificios con información</t>
  </si>
  <si>
    <t>% de edificios</t>
  </si>
  <si>
    <t>Total de edificios que reportarn al PMG</t>
  </si>
  <si>
    <t>Notas:</t>
  </si>
  <si>
    <t>- La evaluación del cumplimiento de PMG de los servicios se realizará a fines del presente año.</t>
  </si>
  <si>
    <t>- Para la correcta evaluación de los servicios a fin de año, se requiere que tengan reportada la información mínima exigida y que ésta no contenga errores.</t>
  </si>
  <si>
    <t>Resumen por edificio:</t>
  </si>
  <si>
    <t>Reporta el edificio al PMG?</t>
  </si>
  <si>
    <t>Región</t>
  </si>
  <si>
    <t>Comuna</t>
  </si>
  <si>
    <t>Meses completos reportados</t>
  </si>
  <si>
    <t>¿Tiene al menos 12 meses reportados completos en todos sus medidores?</t>
  </si>
  <si>
    <t>Resumen por edificio y medidor:</t>
  </si>
  <si>
    <t>Energético</t>
  </si>
  <si>
    <t>Distribuidora</t>
  </si>
  <si>
    <t>Número cliente</t>
  </si>
  <si>
    <t>Número medidor</t>
  </si>
  <si>
    <t>¿Tiene al menos 12 meses completos reportados?</t>
  </si>
  <si>
    <t>OK</t>
  </si>
  <si>
    <t>Noap</t>
  </si>
  <si>
    <t>NO</t>
  </si>
  <si>
    <t>División</t>
  </si>
  <si>
    <t>Reporta la División al PMG?</t>
  </si>
  <si>
    <t>Id División</t>
  </si>
  <si>
    <t>Sin resultados</t>
  </si>
  <si>
    <t>NADA</t>
  </si>
  <si>
    <r>
      <t xml:space="preserve">Para dicha división, mes, año, energético y medidor </t>
    </r>
    <r>
      <rPr>
        <b/>
        <sz val="11"/>
        <color theme="1"/>
        <rFont val="Calibri"/>
        <family val="2"/>
        <scheme val="minor"/>
      </rPr>
      <t>todas las compras</t>
    </r>
    <r>
      <rPr>
        <sz val="11"/>
        <color theme="1"/>
        <rFont val="Calibri"/>
        <family val="2"/>
        <scheme val="minor"/>
      </rPr>
      <t xml:space="preserve"> están validadas</t>
    </r>
  </si>
  <si>
    <r>
      <t xml:space="preserve">Para dicha división, mes, año, energético y medidor </t>
    </r>
    <r>
      <rPr>
        <b/>
        <sz val="11"/>
        <color theme="1"/>
        <rFont val="Calibri"/>
        <family val="2"/>
        <scheme val="minor"/>
      </rPr>
      <t>hay al menos una compra observada</t>
    </r>
  </si>
  <si>
    <r>
      <t xml:space="preserve">Para dicha división, mes, año, energético y medidor </t>
    </r>
    <r>
      <rPr>
        <b/>
        <sz val="11"/>
        <color theme="1"/>
        <rFont val="Calibri"/>
        <family val="2"/>
        <scheme val="minor"/>
      </rPr>
      <t>hay al menos una compra sin revisión y ninguna compra observada</t>
    </r>
  </si>
  <si>
    <t>Sin Resultados</t>
  </si>
  <si>
    <t>(Nombre Servicio)</t>
  </si>
  <si>
    <t>Reporte generado al dd-MM-yyyy</t>
  </si>
  <si>
    <t>Condiciones de prorrateo</t>
  </si>
  <si>
    <r>
      <t>Para dicha división, mes, año, energético y medidor s</t>
    </r>
    <r>
      <rPr>
        <sz val="11"/>
        <rFont val="Calibri"/>
        <family val="2"/>
        <scheme val="minor"/>
      </rPr>
      <t xml:space="preserve">i </t>
    </r>
    <r>
      <rPr>
        <b/>
        <sz val="11"/>
        <rFont val="Calibri"/>
        <family val="2"/>
        <scheme val="minor"/>
      </rPr>
      <t>la cantidad de días del mes cubierto por los prorrateos de las compras para dicho año/mes es: (*)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</si>
</sst>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Arial Narrow"/>
      <family val="2"/>
    </font>
    <font>
      <sz val="10"/>
      <name val="Arial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</font>
    <font>
      <sz val="11"/>
      <color rgb="FFCCFFCC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7C8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68">
    <xf numFmtId="0" fontId="0" fillId="0" borderId="0" applyAlignment="0"/>
    <xf numFmtId="9" fontId="1" fillId="0" borderId="0" applyAlignment="0"/>
    <xf numFmtId="0" fontId="1" fillId="0" borderId="0" applyAlignment="0"/>
    <xf numFmtId="0" fontId="1" fillId="0" borderId="0" applyAlignment="0"/>
    <xf numFmtId="0" fontId="1" fillId="0" borderId="0" applyAlignment="0"/>
    <xf numFmtId="0" fontId="1" fillId="0" borderId="0" applyAlignment="0"/>
    <xf numFmtId="0" fontId="8" fillId="0" borderId="0" applyAlignment="0"/>
    <xf numFmtId="0" fontId="9" fillId="0" borderId="0" applyAlignment="0"/>
    <xf numFmtId="0" fontId="10" fillId="0" borderId="0" applyAlignment="0"/>
    <xf numFmtId="0" fontId="1" fillId="0" borderId="0" applyAlignment="0"/>
    <xf numFmtId="0" fontId="1" fillId="0" borderId="0" applyAlignment="0"/>
    <xf numFmtId="0" fontId="1" fillId="0" borderId="0" applyAlignment="0"/>
    <xf numFmtId="0" fontId="1" fillId="0" borderId="0" applyAlignment="0"/>
    <xf numFmtId="0" fontId="1" fillId="0" borderId="0" applyAlignment="0"/>
    <xf numFmtId="0" fontId="1" fillId="0" borderId="0" applyAlignment="0"/>
    <xf numFmtId="0" fontId="9" fillId="0" borderId="0" applyAlignment="0"/>
    <xf numFmtId="0" fontId="11" fillId="0" borderId="0" applyAlignment="0"/>
    <xf numFmtId="0" fontId="9" fillId="0" borderId="0" applyAlignment="0"/>
    <xf numFmtId="0" fontId="1" fillId="0" borderId="0" applyAlignment="0"/>
    <xf numFmtId="0" fontId="1" fillId="0" borderId="0" applyAlignment="0"/>
    <xf numFmtId="0" fontId="12" fillId="0" borderId="0" applyAlignment="0"/>
    <xf numFmtId="0" fontId="9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9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1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1" fillId="0" borderId="0" applyAlignment="0"/>
    <xf numFmtId="0" fontId="12" fillId="0" borderId="0" applyAlignment="0"/>
    <xf numFmtId="0" fontId="8" fillId="0" borderId="0" applyAlignment="0"/>
    <xf numFmtId="0" fontId="9" fillId="0" borderId="0" applyAlignment="0"/>
    <xf numFmtId="0" fontId="8" fillId="0" borderId="0" applyAlignment="0"/>
    <xf numFmtId="0" fontId="9" fillId="0" borderId="0" applyAlignment="0"/>
    <xf numFmtId="0" fontId="9" fillId="0" borderId="0" applyAlignment="0"/>
    <xf numFmtId="0" fontId="8" fillId="0" borderId="0" applyAlignment="0"/>
    <xf numFmtId="0" fontId="8" fillId="0" borderId="0" applyAlignment="0"/>
    <xf numFmtId="0" fontId="9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</cellStyleXfs>
  <cellXfs count="68">
    <xf numFmtId="0" fontId="0" fillId="0" borderId="0" xfId="0"/>
    <xf numFmtId="0" fontId="4" fillId="0" borderId="0" xfId="0" applyFont="1"/>
    <xf numFmtId="0" fontId="5" fillId="0" borderId="0" xfId="0" applyFont="1"/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horizontal="right" vertical="center"/>
    </xf>
    <xf numFmtId="0" fontId="0" fillId="0" borderId="3" xfId="0" applyBorder="1"/>
    <xf numFmtId="0" fontId="0" fillId="0" borderId="4" xfId="0" applyNumberFormat="1" applyBorder="1" applyAlignment="1">
      <alignment horizontal="right"/>
    </xf>
    <xf numFmtId="0" fontId="0" fillId="0" borderId="5" xfId="0" applyBorder="1"/>
    <xf numFmtId="9" fontId="0" fillId="0" borderId="6" xfId="1" applyFont="1" applyBorder="1" applyAlignment="1">
      <alignment horizontal="right"/>
    </xf>
    <xf numFmtId="0" fontId="6" fillId="0" borderId="7" xfId="0" applyFont="1" applyBorder="1" applyAlignment="1">
      <alignment horizontal="right" vertical="center" wrapText="1"/>
    </xf>
    <xf numFmtId="0" fontId="6" fillId="0" borderId="8" xfId="0" applyFont="1" applyBorder="1" applyAlignment="1">
      <alignment horizontal="right" vertical="center" wrapText="1"/>
    </xf>
    <xf numFmtId="0" fontId="6" fillId="0" borderId="9" xfId="0" applyFont="1" applyBorder="1" applyAlignment="1">
      <alignment horizontal="right" vertical="center" wrapText="1"/>
    </xf>
    <xf numFmtId="0" fontId="6" fillId="0" borderId="10" xfId="0" applyFont="1" applyBorder="1" applyAlignment="1">
      <alignment horizontal="right" vertical="center" wrapText="1"/>
    </xf>
    <xf numFmtId="0" fontId="0" fillId="0" borderId="1" xfId="0" applyBorder="1"/>
    <xf numFmtId="0" fontId="0" fillId="0" borderId="11" xfId="0" applyNumberFormat="1" applyBorder="1" applyAlignment="1">
      <alignment horizontal="right"/>
    </xf>
    <xf numFmtId="0" fontId="0" fillId="0" borderId="12" xfId="0" applyNumberFormat="1" applyBorder="1" applyAlignment="1">
      <alignment horizontal="right"/>
    </xf>
    <xf numFmtId="0" fontId="0" fillId="0" borderId="13" xfId="0" applyNumberFormat="1" applyBorder="1" applyAlignment="1">
      <alignment horizontal="right"/>
    </xf>
    <xf numFmtId="0" fontId="0" fillId="0" borderId="14" xfId="0" applyNumberFormat="1" applyBorder="1" applyAlignment="1">
      <alignment horizontal="right"/>
    </xf>
    <xf numFmtId="0" fontId="0" fillId="0" borderId="15" xfId="0" applyBorder="1"/>
    <xf numFmtId="164" fontId="0" fillId="0" borderId="16" xfId="1" applyNumberFormat="1" applyFont="1" applyBorder="1" applyAlignment="1">
      <alignment horizontal="right"/>
    </xf>
    <xf numFmtId="164" fontId="0" fillId="0" borderId="17" xfId="1" applyNumberFormat="1" applyFont="1" applyBorder="1" applyAlignment="1">
      <alignment horizontal="right"/>
    </xf>
    <xf numFmtId="0" fontId="0" fillId="0" borderId="18" xfId="0" applyBorder="1"/>
    <xf numFmtId="0" fontId="0" fillId="0" borderId="19" xfId="0" applyBorder="1"/>
    <xf numFmtId="0" fontId="0" fillId="0" borderId="0" xfId="0" applyBorder="1"/>
    <xf numFmtId="0" fontId="7" fillId="0" borderId="0" xfId="0" applyFont="1"/>
    <xf numFmtId="0" fontId="2" fillId="0" borderId="0" xfId="0" applyFont="1" applyAlignment="1">
      <alignment horizontal="left"/>
    </xf>
    <xf numFmtId="49" fontId="0" fillId="0" borderId="0" xfId="0" applyNumberFormat="1"/>
    <xf numFmtId="0" fontId="2" fillId="0" borderId="20" xfId="0" applyFont="1" applyBorder="1" applyAlignment="1">
      <alignment vertical="center"/>
    </xf>
    <xf numFmtId="3" fontId="2" fillId="0" borderId="21" xfId="0" applyNumberFormat="1" applyFont="1" applyBorder="1" applyAlignment="1">
      <alignment vertical="center"/>
    </xf>
    <xf numFmtId="3" fontId="2" fillId="0" borderId="22" xfId="0" applyNumberFormat="1" applyFont="1" applyFill="1" applyBorder="1" applyAlignment="1">
      <alignment horizontal="center" vertical="center" wrapText="1"/>
    </xf>
    <xf numFmtId="3" fontId="2" fillId="0" borderId="23" xfId="0" applyNumberFormat="1" applyFont="1" applyFill="1" applyBorder="1" applyAlignment="1">
      <alignment horizontal="center" vertical="center" wrapText="1"/>
    </xf>
    <xf numFmtId="0" fontId="0" fillId="0" borderId="24" xfId="0" applyBorder="1"/>
    <xf numFmtId="3" fontId="0" fillId="0" borderId="12" xfId="0" applyNumberFormat="1" applyBorder="1"/>
    <xf numFmtId="1" fontId="0" fillId="0" borderId="12" xfId="0" applyNumberFormat="1" applyBorder="1"/>
    <xf numFmtId="3" fontId="0" fillId="0" borderId="14" xfId="0" applyNumberFormat="1" applyBorder="1"/>
    <xf numFmtId="3" fontId="2" fillId="0" borderId="20" xfId="0" applyNumberFormat="1" applyFont="1" applyFill="1" applyBorder="1" applyAlignment="1">
      <alignment horizontal="center" vertical="center" wrapText="1"/>
    </xf>
    <xf numFmtId="3" fontId="2" fillId="0" borderId="21" xfId="0" applyNumberFormat="1" applyFont="1" applyFill="1" applyBorder="1" applyAlignment="1">
      <alignment horizontal="center" vertical="center" wrapText="1"/>
    </xf>
    <xf numFmtId="1" fontId="2" fillId="0" borderId="21" xfId="0" applyNumberFormat="1" applyFont="1" applyFill="1" applyBorder="1" applyAlignment="1">
      <alignment horizontal="center" vertical="center" wrapText="1"/>
    </xf>
    <xf numFmtId="3" fontId="0" fillId="0" borderId="12" xfId="0" applyNumberFormat="1" applyFill="1" applyBorder="1"/>
    <xf numFmtId="1" fontId="0" fillId="0" borderId="12" xfId="0" applyNumberFormat="1" applyFill="1" applyBorder="1"/>
    <xf numFmtId="0" fontId="0" fillId="0" borderId="0" xfId="0" applyAlignment="1">
      <alignment wrapText="1"/>
    </xf>
    <xf numFmtId="0" fontId="0" fillId="0" borderId="0" xfId="0"/>
    <xf numFmtId="0" fontId="5" fillId="0" borderId="0" xfId="0" applyFont="1" applyAlignment="1">
      <alignment wrapText="1"/>
    </xf>
    <xf numFmtId="3" fontId="0" fillId="0" borderId="24" xfId="0" applyNumberFormat="1" applyFill="1" applyBorder="1" applyAlignment="1">
      <alignment wrapText="1"/>
    </xf>
    <xf numFmtId="49" fontId="2" fillId="0" borderId="21" xfId="0" applyNumberFormat="1" applyFont="1" applyFill="1" applyBorder="1" applyAlignment="1">
      <alignment horizontal="center" vertical="center" wrapText="1"/>
    </xf>
    <xf numFmtId="0" fontId="0" fillId="0" borderId="12" xfId="0" applyNumberFormat="1" applyFill="1" applyBorder="1" applyAlignment="1">
      <alignment horizontal="right" indent="1"/>
    </xf>
    <xf numFmtId="3" fontId="2" fillId="0" borderId="21" xfId="0" applyNumberFormat="1" applyFont="1" applyBorder="1" applyAlignment="1">
      <alignment horizontal="center" vertical="center"/>
    </xf>
    <xf numFmtId="1" fontId="2" fillId="0" borderId="21" xfId="0" applyNumberFormat="1" applyFont="1" applyBorder="1" applyAlignment="1">
      <alignment horizontal="center" vertical="center"/>
    </xf>
    <xf numFmtId="3" fontId="3" fillId="2" borderId="12" xfId="0" applyNumberFormat="1" applyFont="1" applyFill="1" applyBorder="1" applyAlignment="1">
      <alignment horizontal="right" indent="1"/>
    </xf>
    <xf numFmtId="0" fontId="0" fillId="0" borderId="25" xfId="0" applyBorder="1"/>
    <xf numFmtId="0" fontId="15" fillId="3" borderId="25" xfId="0" applyFont="1" applyFill="1" applyBorder="1"/>
    <xf numFmtId="0" fontId="15" fillId="4" borderId="25" xfId="0" applyFont="1" applyFill="1" applyBorder="1"/>
    <xf numFmtId="3" fontId="3" fillId="2" borderId="11" xfId="0" applyNumberFormat="1" applyFont="1" applyFill="1" applyBorder="1" applyAlignment="1">
      <alignment horizontal="right" indent="1"/>
    </xf>
    <xf numFmtId="0" fontId="0" fillId="0" borderId="26" xfId="0" applyNumberFormat="1" applyFill="1" applyBorder="1" applyAlignment="1">
      <alignment horizontal="right" indent="1"/>
    </xf>
    <xf numFmtId="49" fontId="2" fillId="0" borderId="27" xfId="0" applyNumberFormat="1" applyFont="1" applyFill="1" applyBorder="1" applyAlignment="1">
      <alignment horizontal="center" vertical="center" wrapText="1"/>
    </xf>
    <xf numFmtId="3" fontId="2" fillId="0" borderId="28" xfId="0" applyNumberFormat="1" applyFont="1" applyFill="1" applyBorder="1" applyAlignment="1">
      <alignment horizontal="center" vertical="center" wrapText="1"/>
    </xf>
    <xf numFmtId="3" fontId="3" fillId="2" borderId="13" xfId="0" applyNumberFormat="1" applyFont="1" applyFill="1" applyBorder="1" applyAlignment="1">
      <alignment horizontal="right" indent="1"/>
    </xf>
    <xf numFmtId="3" fontId="2" fillId="0" borderId="29" xfId="0" applyNumberFormat="1" applyFont="1" applyFill="1" applyBorder="1" applyAlignment="1">
      <alignment horizontal="center" vertical="center" wrapText="1"/>
    </xf>
    <xf numFmtId="3" fontId="2" fillId="0" borderId="27" xfId="0" applyNumberFormat="1" applyFont="1" applyFill="1" applyBorder="1" applyAlignment="1">
      <alignment horizontal="center" vertical="center" wrapText="1"/>
    </xf>
    <xf numFmtId="3" fontId="0" fillId="0" borderId="30" xfId="0" applyNumberFormat="1" applyFill="1" applyBorder="1" applyAlignment="1">
      <alignment horizontal="right" indent="1"/>
    </xf>
    <xf numFmtId="3" fontId="0" fillId="0" borderId="26" xfId="0" applyNumberFormat="1" applyFill="1" applyBorder="1" applyAlignment="1">
      <alignment horizontal="right" indent="1"/>
    </xf>
    <xf numFmtId="1" fontId="0" fillId="0" borderId="0" xfId="0" applyNumberFormat="1"/>
    <xf numFmtId="1" fontId="2" fillId="0" borderId="22" xfId="0" applyNumberFormat="1" applyFont="1" applyFill="1" applyBorder="1" applyAlignment="1">
      <alignment horizontal="center" vertical="center" wrapText="1"/>
    </xf>
    <xf numFmtId="0" fontId="16" fillId="0" borderId="0" xfId="0" applyFont="1"/>
    <xf numFmtId="0" fontId="2" fillId="0" borderId="0" xfId="0" applyFont="1"/>
    <xf numFmtId="0" fontId="18" fillId="0" borderId="0" xfId="0" applyFont="1"/>
    <xf numFmtId="0" fontId="2" fillId="0" borderId="31" xfId="0" applyFont="1" applyBorder="1"/>
    <xf numFmtId="0" fontId="2" fillId="0" borderId="32" xfId="0" applyFont="1" applyBorder="1"/>
  </cellXfs>
  <cellStyles count="68">
    <cellStyle name="Normal" xfId="0" builtinId="0"/>
    <cellStyle name="Normal 10" xfId="10" xr:uid="{00000000-0005-0000-0000-000009000000}"/>
    <cellStyle name="Normal 11" xfId="11" xr:uid="{00000000-0005-0000-0000-00000A000000}"/>
    <cellStyle name="Normal 12" xfId="12" xr:uid="{00000000-0005-0000-0000-00000B000000}"/>
    <cellStyle name="Normal 13" xfId="13" xr:uid="{00000000-0005-0000-0000-00000C000000}"/>
    <cellStyle name="Normal 14" xfId="14" xr:uid="{00000000-0005-0000-0000-00000D000000}"/>
    <cellStyle name="Normal 15" xfId="15" xr:uid="{00000000-0005-0000-0000-00000E000000}"/>
    <cellStyle name="Normal 16" xfId="16" xr:uid="{00000000-0005-0000-0000-00000F000000}"/>
    <cellStyle name="Normal 17" xfId="17" xr:uid="{00000000-0005-0000-0000-000010000000}"/>
    <cellStyle name="Normal 18" xfId="18" xr:uid="{00000000-0005-0000-0000-000011000000}"/>
    <cellStyle name="Normal 19" xfId="19" xr:uid="{00000000-0005-0000-0000-000012000000}"/>
    <cellStyle name="Normal 2" xfId="2" xr:uid="{00000000-0005-0000-0000-000001000000}"/>
    <cellStyle name="Normal 20" xfId="20" xr:uid="{00000000-0005-0000-0000-000013000000}"/>
    <cellStyle name="Normal 21" xfId="21" xr:uid="{00000000-0005-0000-0000-000014000000}"/>
    <cellStyle name="Normal 22" xfId="22" xr:uid="{00000000-0005-0000-0000-000015000000}"/>
    <cellStyle name="Normal 23" xfId="23" xr:uid="{00000000-0005-0000-0000-000016000000}"/>
    <cellStyle name="Normal 24" xfId="24" xr:uid="{00000000-0005-0000-0000-000017000000}"/>
    <cellStyle name="Normal 25" xfId="25" xr:uid="{00000000-0005-0000-0000-000018000000}"/>
    <cellStyle name="Normal 26" xfId="26" xr:uid="{00000000-0005-0000-0000-000019000000}"/>
    <cellStyle name="Normal 27" xfId="27" xr:uid="{00000000-0005-0000-0000-00001A000000}"/>
    <cellStyle name="Normal 28" xfId="28" xr:uid="{00000000-0005-0000-0000-00001B000000}"/>
    <cellStyle name="Normal 29" xfId="29" xr:uid="{00000000-0005-0000-0000-00001C000000}"/>
    <cellStyle name="Normal 3" xfId="3" xr:uid="{00000000-0005-0000-0000-000002000000}"/>
    <cellStyle name="Normal 30" xfId="30" xr:uid="{00000000-0005-0000-0000-00001D000000}"/>
    <cellStyle name="Normal 31" xfId="31" xr:uid="{00000000-0005-0000-0000-00001E000000}"/>
    <cellStyle name="Normal 32" xfId="32" xr:uid="{00000000-0005-0000-0000-00001F000000}"/>
    <cellStyle name="Normal 33" xfId="33" xr:uid="{00000000-0005-0000-0000-000020000000}"/>
    <cellStyle name="Normal 34" xfId="34" xr:uid="{00000000-0005-0000-0000-000021000000}"/>
    <cellStyle name="Normal 35" xfId="35" xr:uid="{00000000-0005-0000-0000-000022000000}"/>
    <cellStyle name="Normal 36" xfId="36" xr:uid="{00000000-0005-0000-0000-000023000000}"/>
    <cellStyle name="Normal 37" xfId="37" xr:uid="{00000000-0005-0000-0000-000024000000}"/>
    <cellStyle name="Normal 38" xfId="38" xr:uid="{00000000-0005-0000-0000-000025000000}"/>
    <cellStyle name="Normal 39" xfId="39" xr:uid="{00000000-0005-0000-0000-000026000000}"/>
    <cellStyle name="Normal 4" xfId="4" xr:uid="{00000000-0005-0000-0000-000003000000}"/>
    <cellStyle name="Normal 40" xfId="40" xr:uid="{00000000-0005-0000-0000-000027000000}"/>
    <cellStyle name="Normal 41" xfId="41" xr:uid="{00000000-0005-0000-0000-000028000000}"/>
    <cellStyle name="Normal 42" xfId="42" xr:uid="{00000000-0005-0000-0000-000029000000}"/>
    <cellStyle name="Normal 43" xfId="43" xr:uid="{00000000-0005-0000-0000-00002A000000}"/>
    <cellStyle name="Normal 44" xfId="44" xr:uid="{00000000-0005-0000-0000-00002B000000}"/>
    <cellStyle name="Normal 45" xfId="45" xr:uid="{00000000-0005-0000-0000-00002C000000}"/>
    <cellStyle name="Normal 46" xfId="46" xr:uid="{00000000-0005-0000-0000-00002D000000}"/>
    <cellStyle name="Normal 47" xfId="47" xr:uid="{00000000-0005-0000-0000-00002E000000}"/>
    <cellStyle name="Normal 48" xfId="48" xr:uid="{00000000-0005-0000-0000-00002F000000}"/>
    <cellStyle name="Normal 49" xfId="49" xr:uid="{00000000-0005-0000-0000-000030000000}"/>
    <cellStyle name="Normal 5" xfId="5" xr:uid="{00000000-0005-0000-0000-000004000000}"/>
    <cellStyle name="Normal 50" xfId="50" xr:uid="{00000000-0005-0000-0000-000031000000}"/>
    <cellStyle name="Normal 51" xfId="51" xr:uid="{00000000-0005-0000-0000-000032000000}"/>
    <cellStyle name="Normal 52" xfId="52" xr:uid="{00000000-0005-0000-0000-000033000000}"/>
    <cellStyle name="Normal 53" xfId="53" xr:uid="{00000000-0005-0000-0000-000034000000}"/>
    <cellStyle name="Normal 54" xfId="54" xr:uid="{00000000-0005-0000-0000-000035000000}"/>
    <cellStyle name="Normal 55" xfId="55" xr:uid="{00000000-0005-0000-0000-000036000000}"/>
    <cellStyle name="Normal 56" xfId="56" xr:uid="{00000000-0005-0000-0000-000037000000}"/>
    <cellStyle name="Normal 57" xfId="57" xr:uid="{00000000-0005-0000-0000-000038000000}"/>
    <cellStyle name="Normal 58" xfId="58" xr:uid="{00000000-0005-0000-0000-000039000000}"/>
    <cellStyle name="Normal 59" xfId="59" xr:uid="{00000000-0005-0000-0000-00003A000000}"/>
    <cellStyle name="Normal 6" xfId="6" xr:uid="{00000000-0005-0000-0000-000005000000}"/>
    <cellStyle name="Normal 60" xfId="60" xr:uid="{00000000-0005-0000-0000-00003B000000}"/>
    <cellStyle name="Normal 61" xfId="61" xr:uid="{00000000-0005-0000-0000-00003C000000}"/>
    <cellStyle name="Normal 62" xfId="62" xr:uid="{00000000-0005-0000-0000-00003D000000}"/>
    <cellStyle name="Normal 63" xfId="63" xr:uid="{00000000-0005-0000-0000-00003E000000}"/>
    <cellStyle name="Normal 64" xfId="64" xr:uid="{00000000-0005-0000-0000-00003F000000}"/>
    <cellStyle name="Normal 65" xfId="65" xr:uid="{00000000-0005-0000-0000-000040000000}"/>
    <cellStyle name="Normal 66" xfId="66" xr:uid="{00000000-0005-0000-0000-000041000000}"/>
    <cellStyle name="Normal 67" xfId="67" xr:uid="{00000000-0005-0000-0000-000042000000}"/>
    <cellStyle name="Normal 7" xfId="7" xr:uid="{00000000-0005-0000-0000-000006000000}"/>
    <cellStyle name="Normal 8" xfId="8" xr:uid="{00000000-0005-0000-0000-000007000000}"/>
    <cellStyle name="Normal 9" xfId="9" xr:uid="{00000000-0005-0000-0000-000008000000}"/>
    <cellStyle name="Porcentaje" xfId="1" builtinId="5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CCFFCC"/>
      <color rgb="FFFFFFCC"/>
      <color rgb="FF993366"/>
      <color rgb="FF00FF00"/>
      <color rgb="FFFF7C80"/>
      <color rgb="FFFFCC99"/>
      <color rgb="FF008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5667375</xdr:colOff>
      <xdr:row>44</xdr:row>
      <xdr:rowOff>171450</xdr:rowOff>
    </xdr:to>
    <xdr:sp macro="" textlink="">
      <xdr:nvSpPr>
        <xdr:cNvPr id="5125" name="202" hidden="1">
          <a:extLst>
            <a:ext uri="{FF2B5EF4-FFF2-40B4-BE49-F238E27FC236}">
              <a16:creationId xmlns:a16="http://schemas.microsoft.com/office/drawing/2014/main" id="{23D2F9F2-5CA4-4C14-B06B-BB362C950CF7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hsepulveda\AppData\Local\Microsoft\Windows\Temporary%20Internet%20Files\Content.Outlook\3I1U445G\Formularios%20Energia%20v1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tecedentes"/>
      <sheetName val="Producción"/>
      <sheetName val="Electricidad "/>
      <sheetName val="Gas Natural  "/>
      <sheetName val="Gas Licuado "/>
      <sheetName val="Diesel "/>
      <sheetName val="Leña"/>
      <sheetName val="Biomasa"/>
      <sheetName val="Usos Energéticos "/>
      <sheetName val="Resumen"/>
      <sheetName val="Resumen (2)"/>
      <sheetName val="Hoja1"/>
      <sheetName val="Hoja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3">
          <cell r="A3" t="str">
            <v>Electricidad</v>
          </cell>
        </row>
        <row r="4">
          <cell r="A4" t="str">
            <v>Gas Licuado</v>
          </cell>
        </row>
        <row r="5">
          <cell r="A5" t="str">
            <v>Gas Natural</v>
          </cell>
        </row>
        <row r="6">
          <cell r="A6" t="str">
            <v>Diesel</v>
          </cell>
        </row>
        <row r="7">
          <cell r="A7" t="str">
            <v>Leña</v>
          </cell>
        </row>
        <row r="8">
          <cell r="A8" t="str">
            <v>Biomasa</v>
          </cell>
        </row>
        <row r="9">
          <cell r="A9" t="str">
            <v>Otro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247E2A6-FFD9-4C2F-8759-11B877D560F2}">
  <we:reference id="wa104381504" version="1.0.0.0" store="es-E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1"/>
  <dimension ref="A1:N18"/>
  <sheetViews>
    <sheetView showGridLines="0" workbookViewId="0">
      <selection activeCell="E9" sqref="E9"/>
    </sheetView>
  </sheetViews>
  <sheetFormatPr baseColWidth="10" defaultRowHeight="15" x14ac:dyDescent="0.25"/>
  <cols>
    <col min="1" max="1" width="5.85546875" customWidth="1"/>
    <col min="2" max="2" width="41.5703125" customWidth="1"/>
    <col min="3" max="11" width="11.42578125" customWidth="1"/>
    <col min="14" max="14" width="11.5703125" customWidth="1"/>
  </cols>
  <sheetData>
    <row r="1" spans="1:14" ht="21" x14ac:dyDescent="0.35">
      <c r="B1" s="1" t="s">
        <v>0</v>
      </c>
      <c r="C1" s="1" t="s">
        <v>48</v>
      </c>
    </row>
    <row r="2" spans="1:14" ht="19.5" thickBot="1" x14ac:dyDescent="0.35">
      <c r="A2" s="2">
        <v>1</v>
      </c>
      <c r="B2" s="2" t="s">
        <v>1</v>
      </c>
      <c r="C2" t="s">
        <v>49</v>
      </c>
    </row>
    <row r="3" spans="1:14" ht="39" customHeight="1" x14ac:dyDescent="0.25">
      <c r="B3" s="3" t="s">
        <v>2</v>
      </c>
      <c r="C3" s="4" t="str">
        <f ca="1">IF($C$4=$C$11,"Si","No")</f>
        <v>No</v>
      </c>
    </row>
    <row r="4" spans="1:14" x14ac:dyDescent="0.25">
      <c r="B4" s="5" t="s">
        <v>3</v>
      </c>
      <c r="C4" s="6">
        <f ca="1">Resumen_por_edificio!$E$5</f>
        <v>0</v>
      </c>
    </row>
    <row r="5" spans="1:14" ht="15.75" thickBot="1" x14ac:dyDescent="0.3">
      <c r="B5" s="7" t="s">
        <v>4</v>
      </c>
      <c r="C5" s="8">
        <f ca="1">$C$4/$C$11</f>
        <v>0</v>
      </c>
    </row>
    <row r="7" spans="1:14" ht="19.5" thickBot="1" x14ac:dyDescent="0.35">
      <c r="A7" s="2">
        <v>2</v>
      </c>
      <c r="B7" s="2" t="s">
        <v>5</v>
      </c>
    </row>
    <row r="8" spans="1:14" ht="15.75" thickBot="1" x14ac:dyDescent="0.3">
      <c r="C8" s="9" t="s">
        <v>6</v>
      </c>
      <c r="D8" s="10" t="s">
        <v>7</v>
      </c>
      <c r="E8" s="10" t="s">
        <v>8</v>
      </c>
      <c r="F8" s="10" t="s">
        <v>9</v>
      </c>
      <c r="G8" s="10" t="s">
        <v>10</v>
      </c>
      <c r="H8" s="10" t="s">
        <v>11</v>
      </c>
      <c r="I8" s="10" t="s">
        <v>12</v>
      </c>
      <c r="J8" s="10" t="s">
        <v>13</v>
      </c>
      <c r="K8" s="11" t="s">
        <v>14</v>
      </c>
      <c r="L8" s="10" t="s">
        <v>15</v>
      </c>
      <c r="M8" s="10" t="s">
        <v>16</v>
      </c>
      <c r="N8" s="12" t="s">
        <v>17</v>
      </c>
    </row>
    <row r="9" spans="1:14" x14ac:dyDescent="0.25">
      <c r="B9" s="13" t="s">
        <v>18</v>
      </c>
      <c r="C9" s="14">
        <v>0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6">
        <v>0</v>
      </c>
      <c r="L9" s="15">
        <v>0</v>
      </c>
      <c r="M9" s="15">
        <v>0</v>
      </c>
      <c r="N9" s="17">
        <v>0</v>
      </c>
    </row>
    <row r="10" spans="1:14" ht="15.75" thickBot="1" x14ac:dyDescent="0.3">
      <c r="B10" s="18" t="s">
        <v>19</v>
      </c>
      <c r="C10" s="19">
        <f>C$9/$C$11</f>
        <v>0</v>
      </c>
      <c r="D10" s="20">
        <f>D$9/$C$11</f>
        <v>0</v>
      </c>
      <c r="E10" s="19">
        <f t="shared" ref="E10:N10" si="0">E$9/$C$11</f>
        <v>0</v>
      </c>
      <c r="F10" s="20">
        <f t="shared" si="0"/>
        <v>0</v>
      </c>
      <c r="G10" s="19">
        <f t="shared" si="0"/>
        <v>0</v>
      </c>
      <c r="H10" s="20">
        <f t="shared" si="0"/>
        <v>0</v>
      </c>
      <c r="I10" s="19">
        <f t="shared" si="0"/>
        <v>0</v>
      </c>
      <c r="J10" s="20">
        <f t="shared" si="0"/>
        <v>0</v>
      </c>
      <c r="K10" s="19">
        <f t="shared" si="0"/>
        <v>0</v>
      </c>
      <c r="L10" s="20">
        <f t="shared" si="0"/>
        <v>0</v>
      </c>
      <c r="M10" s="19">
        <f t="shared" si="0"/>
        <v>0</v>
      </c>
      <c r="N10" s="8">
        <f t="shared" si="0"/>
        <v>0</v>
      </c>
    </row>
    <row r="11" spans="1:14" ht="15.75" thickBot="1" x14ac:dyDescent="0.3">
      <c r="B11" s="7" t="s">
        <v>20</v>
      </c>
      <c r="C11" s="21">
        <v>-1</v>
      </c>
      <c r="D11" s="22"/>
      <c r="E11" s="23"/>
      <c r="F11" s="23"/>
      <c r="G11" s="23"/>
      <c r="H11" s="23"/>
      <c r="I11" s="23"/>
      <c r="J11" s="23"/>
      <c r="K11" s="23"/>
      <c r="L11" s="23"/>
      <c r="M11" s="23"/>
    </row>
    <row r="12" spans="1:14" x14ac:dyDescent="0.25">
      <c r="D12" s="23"/>
      <c r="E12" s="23"/>
      <c r="F12" s="23"/>
      <c r="G12" s="23"/>
      <c r="H12" s="23"/>
      <c r="I12" s="23"/>
      <c r="J12" s="23"/>
      <c r="K12" s="23"/>
      <c r="L12" s="23"/>
      <c r="M12" s="23"/>
    </row>
    <row r="13" spans="1:14" x14ac:dyDescent="0.25">
      <c r="L13" s="23"/>
    </row>
    <row r="14" spans="1:14" ht="18.75" x14ac:dyDescent="0.3">
      <c r="A14" s="24"/>
      <c r="B14" s="24"/>
      <c r="F14" s="25"/>
      <c r="L14" s="23"/>
    </row>
    <row r="16" spans="1:14" x14ac:dyDescent="0.25">
      <c r="B16" t="s">
        <v>21</v>
      </c>
      <c r="D16" s="23"/>
      <c r="E16" s="23"/>
      <c r="F16" s="23"/>
      <c r="G16" s="23"/>
      <c r="H16" s="23"/>
      <c r="I16" s="23"/>
      <c r="J16" s="23"/>
      <c r="K16" s="23"/>
    </row>
    <row r="17" spans="2:2" x14ac:dyDescent="0.25">
      <c r="B17" s="26" t="s">
        <v>22</v>
      </c>
    </row>
    <row r="18" spans="2:2" x14ac:dyDescent="0.25">
      <c r="B18" s="26" t="s">
        <v>23</v>
      </c>
    </row>
  </sheetData>
  <conditionalFormatting sqref="C11">
    <cfRule type="cellIs" dxfId="4" priority="2" operator="lessThan">
      <formula>0</formula>
    </cfRule>
  </conditionalFormatting>
  <conditionalFormatting sqref="C5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8"/>
  <dimension ref="A1:G7"/>
  <sheetViews>
    <sheetView showGridLines="0" topLeftCell="B1" workbookViewId="0">
      <pane ySplit="6" topLeftCell="A7" activePane="bottomLeft" state="frozen"/>
      <selection pane="bottomLeft" activeCell="B6" sqref="B6"/>
    </sheetView>
  </sheetViews>
  <sheetFormatPr baseColWidth="10" defaultRowHeight="15" x14ac:dyDescent="0.25"/>
  <cols>
    <col min="1" max="1" width="26.7109375" customWidth="1"/>
    <col min="2" max="2" width="94.7109375" bestFit="1" customWidth="1"/>
    <col min="3" max="3" width="14.28515625" style="41" customWidth="1"/>
    <col min="4" max="4" width="10.42578125" customWidth="1"/>
    <col min="5" max="5" width="26.5703125" customWidth="1"/>
    <col min="6" max="6" width="16.28515625" style="61" customWidth="1"/>
    <col min="7" max="7" width="32.5703125" customWidth="1"/>
  </cols>
  <sheetData>
    <row r="1" spans="1:7" ht="18.75" x14ac:dyDescent="0.3">
      <c r="A1" s="2" t="s">
        <v>24</v>
      </c>
      <c r="B1" s="2" t="s">
        <v>48</v>
      </c>
      <c r="C1" s="2"/>
    </row>
    <row r="2" spans="1:7" s="41" customFormat="1" ht="18.75" hidden="1" x14ac:dyDescent="0.3">
      <c r="A2" s="2"/>
      <c r="B2" s="2"/>
      <c r="C2" s="2"/>
      <c r="F2" s="61"/>
    </row>
    <row r="3" spans="1:7" s="41" customFormat="1" ht="18.75" hidden="1" x14ac:dyDescent="0.3">
      <c r="A3" s="2"/>
      <c r="B3" s="2"/>
      <c r="C3" s="2"/>
      <c r="F3" s="61"/>
    </row>
    <row r="4" spans="1:7" s="41" customFormat="1" ht="18.75" hidden="1" x14ac:dyDescent="0.3">
      <c r="A4" s="2"/>
      <c r="B4" s="2"/>
      <c r="C4" s="2"/>
      <c r="F4" s="61"/>
    </row>
    <row r="5" spans="1:7" ht="15.75" thickBot="1" x14ac:dyDescent="0.3">
      <c r="D5" s="63" t="str">
        <f ca="1">"$F7:$F" &amp; (ROW(OFFSET($F7,COUNTA($F:$F)-1,0))-1)</f>
        <v>$F7:$F7</v>
      </c>
      <c r="E5" s="63">
        <f ca="1">COUNTIF(INDIRECT(TEXT($D$5,"")),"&gt;=12")</f>
        <v>0</v>
      </c>
    </row>
    <row r="6" spans="1:7" ht="45.75" thickBot="1" x14ac:dyDescent="0.3">
      <c r="A6" s="27" t="s">
        <v>25</v>
      </c>
      <c r="B6" s="28" t="s">
        <v>39</v>
      </c>
      <c r="C6" s="46" t="s">
        <v>41</v>
      </c>
      <c r="D6" s="47" t="s">
        <v>26</v>
      </c>
      <c r="E6" s="46" t="s">
        <v>27</v>
      </c>
      <c r="F6" s="62" t="s">
        <v>28</v>
      </c>
      <c r="G6" s="30" t="s">
        <v>29</v>
      </c>
    </row>
    <row r="7" spans="1:7" x14ac:dyDescent="0.25">
      <c r="A7" s="31" t="s">
        <v>42</v>
      </c>
      <c r="B7" s="32" t="s">
        <v>42</v>
      </c>
      <c r="C7" s="33">
        <v>-1</v>
      </c>
      <c r="D7" s="33">
        <v>-1</v>
      </c>
      <c r="E7" s="32" t="s">
        <v>47</v>
      </c>
      <c r="F7" s="33">
        <v>-1</v>
      </c>
      <c r="G7" s="34" t="str">
        <f>IF($A7="No_Reporta","Noap",IF($F7&gt;=12,"Si","NO"))</f>
        <v>NO</v>
      </c>
    </row>
  </sheetData>
  <conditionalFormatting sqref="C1:D1048576 F1:F1048576">
    <cfRule type="cellIs" dxfId="2" priority="3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9"/>
  <dimension ref="A1:V7"/>
  <sheetViews>
    <sheetView showGridLines="0" tabSelected="1" topLeftCell="D1" zoomScaleNormal="100" workbookViewId="0">
      <pane ySplit="6" topLeftCell="A7" activePane="bottomLeft" state="frozen"/>
      <selection pane="bottomLeft" activeCell="G2" sqref="G2"/>
    </sheetView>
  </sheetViews>
  <sheetFormatPr baseColWidth="10" defaultRowHeight="15" x14ac:dyDescent="0.25"/>
  <cols>
    <col min="1" max="1" width="41" style="40" customWidth="1"/>
    <col min="2" max="2" width="16.85546875" customWidth="1"/>
    <col min="3" max="3" width="94.7109375" bestFit="1" customWidth="1"/>
    <col min="4" max="4" width="7.7109375" customWidth="1"/>
    <col min="5" max="5" width="17.28515625" bestFit="1" customWidth="1"/>
    <col min="6" max="6" width="26.7109375" customWidth="1"/>
    <col min="7" max="7" width="25.140625" style="26" customWidth="1"/>
    <col min="8" max="8" width="66.140625" style="26" customWidth="1"/>
    <col min="9" max="19" width="12" customWidth="1"/>
    <col min="20" max="20" width="11.28515625" customWidth="1"/>
    <col min="21" max="21" width="12.7109375" customWidth="1"/>
    <col min="22" max="22" width="14.5703125" customWidth="1"/>
  </cols>
  <sheetData>
    <row r="1" spans="1:22" s="41" customFormat="1" ht="19.5" thickBot="1" x14ac:dyDescent="0.35">
      <c r="A1" s="42" t="s">
        <v>30</v>
      </c>
      <c r="B1" s="2" t="s">
        <v>48</v>
      </c>
      <c r="C1" s="24"/>
      <c r="F1" s="67" t="s">
        <v>50</v>
      </c>
      <c r="G1" s="65" t="s">
        <v>51</v>
      </c>
      <c r="H1" s="26"/>
    </row>
    <row r="2" spans="1:22" s="41" customFormat="1" ht="19.5" thickBot="1" x14ac:dyDescent="0.35">
      <c r="A2" s="42"/>
      <c r="B2" s="50"/>
      <c r="C2" s="41" t="s">
        <v>44</v>
      </c>
      <c r="F2" s="66" t="s">
        <v>36</v>
      </c>
      <c r="G2" s="64" t="str">
        <f>"(*) Mayor o igual al 93% de la cantidad de días del año/mes, el valor es " &amp; F2</f>
        <v>(*) Mayor o igual al 93% de la cantidad de días del año/mes, el valor es OK</v>
      </c>
    </row>
    <row r="3" spans="1:22" s="41" customFormat="1" ht="19.5" thickBot="1" x14ac:dyDescent="0.35">
      <c r="A3" s="42"/>
      <c r="B3" s="51"/>
      <c r="C3" s="41" t="s">
        <v>45</v>
      </c>
      <c r="F3" s="66" t="s">
        <v>38</v>
      </c>
      <c r="G3" s="64" t="str">
        <f>"(*) Menor al 93% de la cantidad de días del año/mes o bien el energético no permite medidor o no hay ningún prorrateo oara dicho energético, medidor(es), mes y año, el valor es "&amp;F3</f>
        <v>(*) Menor al 93% de la cantidad de días del año/mes o bien el energético no permite medidor o no hay ningún prorrateo oara dicho energético, medidor(es), mes y año, el valor es NO</v>
      </c>
    </row>
    <row r="4" spans="1:22" s="41" customFormat="1" ht="19.5" thickBot="1" x14ac:dyDescent="0.35">
      <c r="A4" s="42"/>
      <c r="B4" s="49"/>
      <c r="C4" s="41" t="s">
        <v>46</v>
      </c>
      <c r="F4" s="66" t="s">
        <v>37</v>
      </c>
      <c r="G4" s="64" t="str">
        <f>"Si la división no reporta PMG el valor es " &amp;F4</f>
        <v>Si la división no reporta PMG el valor es Noap</v>
      </c>
    </row>
    <row r="5" spans="1:22" ht="15.75" thickBot="1" x14ac:dyDescent="0.3"/>
    <row r="6" spans="1:22" ht="75.75" thickBot="1" x14ac:dyDescent="0.3">
      <c r="A6" s="35" t="s">
        <v>31</v>
      </c>
      <c r="B6" s="36" t="s">
        <v>40</v>
      </c>
      <c r="C6" s="36" t="s">
        <v>39</v>
      </c>
      <c r="D6" s="37" t="s">
        <v>26</v>
      </c>
      <c r="E6" s="36" t="s">
        <v>27</v>
      </c>
      <c r="F6" s="36" t="s">
        <v>32</v>
      </c>
      <c r="G6" s="44" t="s">
        <v>33</v>
      </c>
      <c r="H6" s="54" t="s">
        <v>34</v>
      </c>
      <c r="I6" s="29" t="s">
        <v>6</v>
      </c>
      <c r="J6" s="36" t="s">
        <v>7</v>
      </c>
      <c r="K6" s="36" t="s">
        <v>8</v>
      </c>
      <c r="L6" s="36" t="s">
        <v>9</v>
      </c>
      <c r="M6" s="36" t="s">
        <v>10</v>
      </c>
      <c r="N6" s="36" t="s">
        <v>11</v>
      </c>
      <c r="O6" s="36" t="s">
        <v>12</v>
      </c>
      <c r="P6" s="36" t="s">
        <v>13</v>
      </c>
      <c r="Q6" s="36" t="s">
        <v>14</v>
      </c>
      <c r="R6" s="36" t="s">
        <v>15</v>
      </c>
      <c r="S6" s="36" t="s">
        <v>16</v>
      </c>
      <c r="T6" s="55" t="s">
        <v>17</v>
      </c>
      <c r="U6" s="57" t="s">
        <v>28</v>
      </c>
      <c r="V6" s="58" t="s">
        <v>35</v>
      </c>
    </row>
    <row r="7" spans="1:22" x14ac:dyDescent="0.25">
      <c r="A7" s="43" t="s">
        <v>42</v>
      </c>
      <c r="B7" s="38" t="s">
        <v>42</v>
      </c>
      <c r="C7" s="38" t="s">
        <v>42</v>
      </c>
      <c r="D7" s="39">
        <v>-1</v>
      </c>
      <c r="E7" s="38" t="s">
        <v>42</v>
      </c>
      <c r="F7" s="38" t="s">
        <v>42</v>
      </c>
      <c r="G7" s="45" t="s">
        <v>42</v>
      </c>
      <c r="H7" s="53" t="s">
        <v>42</v>
      </c>
      <c r="I7" s="52" t="s">
        <v>38</v>
      </c>
      <c r="J7" s="48" t="s">
        <v>43</v>
      </c>
      <c r="K7" s="48" t="s">
        <v>43</v>
      </c>
      <c r="L7" s="48" t="s">
        <v>36</v>
      </c>
      <c r="M7" s="48" t="s">
        <v>43</v>
      </c>
      <c r="N7" s="48" t="s">
        <v>43</v>
      </c>
      <c r="O7" s="48" t="s">
        <v>43</v>
      </c>
      <c r="P7" s="48" t="s">
        <v>43</v>
      </c>
      <c r="Q7" s="48" t="s">
        <v>43</v>
      </c>
      <c r="R7" s="48" t="s">
        <v>43</v>
      </c>
      <c r="S7" s="48" t="s">
        <v>43</v>
      </c>
      <c r="T7" s="56" t="s">
        <v>43</v>
      </c>
      <c r="U7" s="59">
        <f>IF(COUNTIF($I7:$T7,"NADA")&gt;0,-1,IF(COUNTIF($I7:$T7,"=Noap")&gt;0,"Noap",COUNTIF($I7:$T7,"=OK")))</f>
        <v>-1</v>
      </c>
      <c r="V7" s="60" t="str">
        <f>IF(COUNTIF($I7:$T7,"=NADA")&gt;0,"",IF(IF(COUNTIF($I7:$T7,"=OK")/COUNTA($I$6:$T$6)=1,"Si","No")="Si","Si",IF(COUNTIF($I7:$T7,"=Noap")&gt;0,"Noap","No")))</f>
        <v/>
      </c>
    </row>
  </sheetData>
  <conditionalFormatting sqref="D7">
    <cfRule type="cellIs" dxfId="1" priority="2" operator="lessThan">
      <formula>0</formula>
    </cfRule>
  </conditionalFormatting>
  <conditionalFormatting sqref="U7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Resumen</vt:lpstr>
      <vt:lpstr>Resumen_por_edificio</vt:lpstr>
      <vt:lpstr>Resumen_por_medidor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Iván Molina Huerta</dc:creator>
  <cp:lastModifiedBy>Iván Molina Huerta</cp:lastModifiedBy>
  <dcterms:created xsi:type="dcterms:W3CDTF">2019-12-31T20:10:43Z</dcterms:created>
  <dcterms:modified xsi:type="dcterms:W3CDTF">2020-08-26T13:30:53Z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2.5.1</vt:lpwstr>
  </property>
</Properties>
</file>