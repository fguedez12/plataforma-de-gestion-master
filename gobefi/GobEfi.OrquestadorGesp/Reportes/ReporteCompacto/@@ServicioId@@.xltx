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Archvos_usuario_slurm\PEGA\Empleadores\APIUX\Ministerio_de_Energia\GestionaEnergia\Artefactos_Software\Fuentes\Desa\gobefi\GobEfi.OrquestadorGesp\Reportes\ReporteCompacto\"/>
    </mc:Choice>
  </mc:AlternateContent>
  <xr:revisionPtr revIDLastSave="0" documentId="8_{4B0B367D-E473-425F-8DB7-7E2569949660}" xr6:coauthVersionLast="45" xr6:coauthVersionMax="45" xr10:uidLastSave="{00000000-0000-0000-0000-000000000000}"/>
  <bookViews>
    <workbookView xWindow="390" yWindow="390" windowWidth="24855" windowHeight="11880" xr2:uid="{00000000-000D-0000-FFFF-FFFF00000000}"/>
  </bookViews>
  <sheets>
    <sheet name="Consumo_Energetico" sheetId="1" r:id="rId1"/>
    <sheet name="Gasto_Energetico" sheetId="2" r:id="rId2"/>
  </sheets>
  <externalReferences>
    <externalReference r:id="rId3"/>
  </externalReferences>
  <definedNames>
    <definedName name="area_impresion" localSheetId="0">#REF!</definedName>
    <definedName name="area_impresion" localSheetId="1">#REF!</definedName>
    <definedName name="area_impresion">#REF!</definedName>
    <definedName name="Energéticos">[1]Hoja2!$A$3:$A$9</definedName>
    <definedName name="tabla1" localSheetId="0">#REF!</definedName>
    <definedName name="tabla1" localSheetId="1">#REF!</definedName>
    <definedName name="tabla1">#REF!</definedName>
  </definedNames>
  <calcPr calcId="19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9" i="1" l="1"/>
  <c r="V9" i="2"/>
</calcChain>
</file>

<file path=xl/sharedStrings.xml><?xml version="1.0" encoding="utf-8"?>
<sst xmlns="http://schemas.openxmlformats.org/spreadsheetml/2006/main" count="59" uniqueCount="36">
  <si>
    <t>Reporte de Consumo Edificios</t>
  </si>
  <si>
    <t>Servicio:</t>
  </si>
  <si>
    <t>Unidad:</t>
  </si>
  <si>
    <t>kWh</t>
  </si>
  <si>
    <t>Consumo [KWh]</t>
  </si>
  <si>
    <t>Región</t>
  </si>
  <si>
    <t>Comuna</t>
  </si>
  <si>
    <t>Superficie</t>
  </si>
  <si>
    <t>Tipo edificio</t>
  </si>
  <si>
    <t>Energetico</t>
  </si>
  <si>
    <t>Medidor exclusivo</t>
  </si>
  <si>
    <t>Clasificación Edificio</t>
  </si>
  <si>
    <t>[kWh]</t>
  </si>
  <si>
    <t>Reporte de Gasto Edificios</t>
  </si>
  <si>
    <t>$</t>
  </si>
  <si>
    <t>Gasto [$]</t>
  </si>
  <si>
    <t>[$]</t>
  </si>
  <si>
    <t>(Nombre)</t>
  </si>
  <si>
    <t>División</t>
  </si>
  <si>
    <t>(direccion completa)</t>
  </si>
  <si>
    <t>Id División</t>
  </si>
  <si>
    <t>1)@ Electrico o Gas Natural (pero NO AMBOS, otros energéticos no afectan nombre)</t>
  </si>
  <si>
    <t>2)@ Mixto (2 o más medidores de distinto energético, es decir GN y Elect)</t>
  </si>
  <si>
    <t>(nombre energético)</t>
  </si>
  <si>
    <t>(ver celdas $F5 a $F7 @)</t>
  </si>
  <si>
    <t>(Oficinas administrativas, centro recreación, atención público, etc)</t>
  </si>
  <si>
    <t>Reporte generado al {dd-mm-yyyy}</t>
  </si>
  <si>
    <t>(Nombre servicio)</t>
  </si>
  <si>
    <t>(Medidor compartido o exclusivo)</t>
  </si>
  <si>
    <t>3)@ Medidor compartido (Opuesto a medidor exclusivo en tabla divisiones) o Medidor exclusivo</t>
  </si>
  <si>
    <t>(el gasto monetario del mes es el agregado de todos los medidores para la electricidad y energéticos calóricos)</t>
  </si>
  <si>
    <t>(el consumo del mes es el agregado de todos los medidores para la electricidad y energéticos calóricos)</t>
  </si>
  <si>
    <t xml:space="preserve"> </t>
  </si>
  <si>
    <t>(Nombre Region)</t>
  </si>
  <si>
    <t xml:space="preserve">Total Anho_ kWh </t>
  </si>
  <si>
    <t>Total Anho_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</si>
</sst>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u/>
      <sz val="11"/>
      <color theme="1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45">
    <xf numFmtId="0" fontId="0" fillId="0" borderId="0" xfId="0"/>
    <xf numFmtId="0" fontId="3" fillId="0" borderId="0" xfId="0" applyFont="1"/>
    <xf numFmtId="2" fontId="0" fillId="0" borderId="0" xfId="0" applyNumberFormat="1"/>
    <xf numFmtId="0" fontId="2" fillId="0" borderId="1" xfId="0" applyFont="1" applyBorder="1"/>
    <xf numFmtId="0" fontId="0" fillId="2" borderId="0" xfId="0" applyFill="1"/>
    <xf numFmtId="164" fontId="0" fillId="0" borderId="0" xfId="0" applyNumberFormat="1" applyFill="1"/>
    <xf numFmtId="0" fontId="0" fillId="3" borderId="3" xfId="0" applyFill="1" applyBorder="1"/>
    <xf numFmtId="0" fontId="2" fillId="3" borderId="3" xfId="0" applyFont="1" applyFill="1" applyBorder="1"/>
    <xf numFmtId="3" fontId="0" fillId="0" borderId="10" xfId="0" applyNumberFormat="1" applyBorder="1" applyAlignment="1">
      <alignment horizontal="right"/>
    </xf>
    <xf numFmtId="3" fontId="0" fillId="0" borderId="11" xfId="0" applyNumberFormat="1" applyBorder="1" applyAlignment="1">
      <alignment horizontal="right"/>
    </xf>
    <xf numFmtId="3" fontId="0" fillId="0" borderId="12" xfId="0" applyNumberFormat="1" applyBorder="1" applyAlignment="1">
      <alignment horizontal="right"/>
    </xf>
    <xf numFmtId="2" fontId="0" fillId="0" borderId="11" xfId="0" applyNumberFormat="1" applyBorder="1"/>
    <xf numFmtId="4" fontId="0" fillId="0" borderId="1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4" fontId="0" fillId="0" borderId="13" xfId="0" applyNumberFormat="1" applyBorder="1" applyAlignment="1">
      <alignment horizontal="right"/>
    </xf>
    <xf numFmtId="4" fontId="0" fillId="0" borderId="17" xfId="0" applyNumberFormat="1" applyBorder="1" applyAlignment="1">
      <alignment horizontal="right"/>
    </xf>
    <xf numFmtId="3" fontId="0" fillId="0" borderId="16" xfId="0" applyNumberFormat="1" applyBorder="1" applyAlignment="1">
      <alignment horizontal="right"/>
    </xf>
    <xf numFmtId="1" fontId="2" fillId="3" borderId="2" xfId="0" applyNumberFormat="1" applyFont="1" applyFill="1" applyBorder="1"/>
    <xf numFmtId="1" fontId="2" fillId="3" borderId="6" xfId="0" applyNumberFormat="1" applyFont="1" applyFill="1" applyBorder="1"/>
    <xf numFmtId="1" fontId="2" fillId="3" borderId="8" xfId="0" applyNumberFormat="1" applyFont="1" applyFill="1" applyBorder="1"/>
    <xf numFmtId="1" fontId="2" fillId="3" borderId="9" xfId="0" applyNumberFormat="1" applyFont="1" applyFill="1" applyBorder="1"/>
    <xf numFmtId="49" fontId="2" fillId="3" borderId="3" xfId="0" applyNumberFormat="1" applyFont="1" applyFill="1" applyBorder="1"/>
    <xf numFmtId="49" fontId="0" fillId="2" borderId="0" xfId="0" applyNumberFormat="1" applyFill="1"/>
    <xf numFmtId="49" fontId="2" fillId="3" borderId="14" xfId="0" applyNumberFormat="1" applyFont="1" applyFill="1" applyBorder="1"/>
    <xf numFmtId="49" fontId="2" fillId="3" borderId="15" xfId="0" applyNumberFormat="1" applyFont="1" applyFill="1" applyBorder="1"/>
    <xf numFmtId="49" fontId="2" fillId="0" borderId="6" xfId="0" applyNumberFormat="1" applyFont="1" applyBorder="1"/>
    <xf numFmtId="49" fontId="2" fillId="0" borderId="7" xfId="0" applyNumberFormat="1" applyFont="1" applyBorder="1"/>
    <xf numFmtId="49" fontId="2" fillId="0" borderId="8" xfId="0" applyNumberFormat="1" applyFont="1" applyBorder="1"/>
    <xf numFmtId="49" fontId="2" fillId="0" borderId="7" xfId="0" applyNumberFormat="1" applyFont="1" applyFill="1" applyBorder="1"/>
    <xf numFmtId="49" fontId="2" fillId="0" borderId="9" xfId="0" applyNumberFormat="1" applyFont="1" applyBorder="1"/>
    <xf numFmtId="49" fontId="2" fillId="0" borderId="5" xfId="0" applyNumberFormat="1" applyFont="1" applyBorder="1"/>
    <xf numFmtId="49" fontId="0" fillId="0" borderId="11" xfId="0" applyNumberFormat="1" applyBorder="1"/>
    <xf numFmtId="49" fontId="0" fillId="0" borderId="10" xfId="0" applyNumberFormat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0" xfId="0" applyNumberFormat="1"/>
    <xf numFmtId="1" fontId="0" fillId="0" borderId="11" xfId="0" applyNumberFormat="1" applyBorder="1"/>
    <xf numFmtId="49" fontId="0" fillId="0" borderId="2" xfId="0" applyNumberFormat="1" applyBorder="1"/>
    <xf numFmtId="49" fontId="0" fillId="0" borderId="3" xfId="0" applyNumberFormat="1" applyBorder="1"/>
    <xf numFmtId="49" fontId="0" fillId="0" borderId="4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4" fontId="0" fillId="0" borderId="18" xfId="0" applyNumberFormat="1" applyBorder="1" applyAlignment="1">
      <alignment horizontal="right"/>
    </xf>
    <xf numFmtId="3" fontId="0" fillId="0" borderId="18" xfId="0" applyNumberFormat="1" applyBorder="1" applyAlignment="1">
      <alignment horizontal="right"/>
    </xf>
  </cellXfs>
  <cellStyles count="19">
    <cellStyle name="Hipervínculo 2" xfId="1" xr:uid="{00000000-0005-0000-0000-000000000000}"/>
    <cellStyle name="Hipervínculo 2 2" xfId="2" xr:uid="{00000000-0005-0000-0000-000001000000}"/>
    <cellStyle name="Hipervínculo 3" xfId="3" xr:uid="{00000000-0005-0000-0000-000002000000}"/>
    <cellStyle name="Normal" xfId="0" builtinId="0"/>
    <cellStyle name="Normal 10" xfId="4" xr:uid="{00000000-0005-0000-0000-000004000000}"/>
    <cellStyle name="Normal 11" xfId="5" xr:uid="{00000000-0005-0000-0000-000005000000}"/>
    <cellStyle name="Normal 12" xfId="6" xr:uid="{00000000-0005-0000-0000-000006000000}"/>
    <cellStyle name="Normal 13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3" xfId="11" xr:uid="{00000000-0005-0000-0000-00000B000000}"/>
    <cellStyle name="Normal 4" xfId="12" xr:uid="{00000000-0005-0000-0000-00000C000000}"/>
    <cellStyle name="Normal 4 2" xfId="13" xr:uid="{00000000-0005-0000-0000-00000D000000}"/>
    <cellStyle name="Normal 5" xfId="14" xr:uid="{00000000-0005-0000-0000-00000E000000}"/>
    <cellStyle name="Normal 6" xfId="15" xr:uid="{00000000-0005-0000-0000-00000F000000}"/>
    <cellStyle name="Normal 7" xfId="16" xr:uid="{00000000-0005-0000-0000-000010000000}"/>
    <cellStyle name="Normal 8" xfId="17" xr:uid="{00000000-0005-0000-0000-000011000000}"/>
    <cellStyle name="Normal 9" xfId="18" xr:uid="{00000000-0005-0000-0000-00001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hsepulveda\AppData\Local\Microsoft\Windows\Temporary%20Internet%20Files\Content.Outlook\3I1U445G\Formularios%20Energia%20v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tecedentes"/>
      <sheetName val="Producción"/>
      <sheetName val="Electricidad "/>
      <sheetName val="Gas Natural  "/>
      <sheetName val="Gas Licuado "/>
      <sheetName val="Diesel "/>
      <sheetName val="Leña"/>
      <sheetName val="Biomasa"/>
      <sheetName val="Usos Energéticos "/>
      <sheetName val="Resumen"/>
      <sheetName val="Resumen (2)"/>
      <sheetName val="Hoja1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3">
          <cell r="A3" t="str">
            <v>Electricidad</v>
          </cell>
        </row>
        <row r="4">
          <cell r="A4" t="str">
            <v>Gas Licuado</v>
          </cell>
        </row>
        <row r="5">
          <cell r="A5" t="str">
            <v>Gas Natural</v>
          </cell>
        </row>
        <row r="6">
          <cell r="A6" t="str">
            <v>Diesel</v>
          </cell>
        </row>
        <row r="7">
          <cell r="A7" t="str">
            <v>Leña</v>
          </cell>
        </row>
        <row r="8">
          <cell r="A8" t="str">
            <v>Biomasa</v>
          </cell>
        </row>
        <row r="9">
          <cell r="A9" t="str">
            <v>Otro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0"/>
  <dimension ref="A1:V9"/>
  <sheetViews>
    <sheetView showGridLines="0" tabSelected="1" workbookViewId="0">
      <pane ySplit="8" topLeftCell="A9" activePane="bottomLeft" state="frozen"/>
      <selection activeCell="F1" sqref="F1"/>
      <selection pane="bottomLeft"/>
    </sheetView>
  </sheetViews>
  <sheetFormatPr baseColWidth="10" defaultRowHeight="15" x14ac:dyDescent="0.25"/>
  <cols>
    <col min="1" max="1" width="50" customWidth="1"/>
    <col min="3" max="3" width="29.85546875" customWidth="1"/>
    <col min="4" max="4" width="10.42578125" customWidth="1"/>
    <col min="6" max="6" width="23.140625" customWidth="1"/>
    <col min="7" max="7" width="22.140625" customWidth="1"/>
    <col min="8" max="8" width="21.5703125" customWidth="1"/>
    <col min="9" max="9" width="37.85546875" customWidth="1"/>
    <col min="10" max="21" width="15.7109375" customWidth="1"/>
    <col min="22" max="22" width="17.140625" style="2" customWidth="1"/>
  </cols>
  <sheetData>
    <row r="1" spans="1:22" ht="15.75" thickBot="1" x14ac:dyDescent="0.3">
      <c r="A1" s="1" t="s">
        <v>0</v>
      </c>
    </row>
    <row r="2" spans="1:22" ht="15.75" thickBot="1" x14ac:dyDescent="0.3">
      <c r="A2" s="3" t="s">
        <v>1</v>
      </c>
      <c r="B2" s="37" t="s">
        <v>27</v>
      </c>
      <c r="C2" s="38"/>
      <c r="D2" s="38"/>
      <c r="E2" s="38"/>
      <c r="F2" s="39"/>
    </row>
    <row r="3" spans="1:22" ht="15.75" thickBot="1" x14ac:dyDescent="0.3"/>
    <row r="4" spans="1:22" ht="15.75" thickBot="1" x14ac:dyDescent="0.3">
      <c r="A4" s="3" t="s">
        <v>2</v>
      </c>
      <c r="B4" s="40" t="s">
        <v>3</v>
      </c>
      <c r="C4" s="41"/>
      <c r="D4" s="41"/>
      <c r="E4" s="41"/>
      <c r="F4" s="42"/>
    </row>
    <row r="5" spans="1:22" x14ac:dyDescent="0.25">
      <c r="A5" s="35" t="s">
        <v>26</v>
      </c>
      <c r="F5" t="s">
        <v>21</v>
      </c>
    </row>
    <row r="6" spans="1:22" ht="15.75" thickBot="1" x14ac:dyDescent="0.3">
      <c r="F6" t="s">
        <v>22</v>
      </c>
      <c r="J6" s="22" t="s">
        <v>31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5" t="s">
        <v>32</v>
      </c>
    </row>
    <row r="7" spans="1:22" ht="15.75" thickBot="1" x14ac:dyDescent="0.3">
      <c r="F7" t="s">
        <v>29</v>
      </c>
      <c r="J7" s="17">
        <v>2017</v>
      </c>
      <c r="K7" s="6"/>
      <c r="L7" s="6"/>
      <c r="M7" s="21" t="s">
        <v>4</v>
      </c>
      <c r="N7" s="6"/>
      <c r="O7" s="6"/>
      <c r="P7" s="6"/>
      <c r="Q7" s="6"/>
      <c r="R7" s="6"/>
      <c r="S7" s="6"/>
      <c r="T7" s="6"/>
      <c r="U7" s="6"/>
      <c r="V7" s="23" t="s">
        <v>34</v>
      </c>
    </row>
    <row r="8" spans="1:22" x14ac:dyDescent="0.25">
      <c r="A8" s="25" t="s">
        <v>5</v>
      </c>
      <c r="B8" s="26" t="s">
        <v>6</v>
      </c>
      <c r="C8" s="27" t="s">
        <v>18</v>
      </c>
      <c r="D8" s="28" t="s">
        <v>20</v>
      </c>
      <c r="E8" s="27" t="s">
        <v>7</v>
      </c>
      <c r="F8" s="29" t="s">
        <v>8</v>
      </c>
      <c r="G8" s="29" t="s">
        <v>9</v>
      </c>
      <c r="H8" s="27" t="s">
        <v>10</v>
      </c>
      <c r="I8" s="30" t="s">
        <v>11</v>
      </c>
      <c r="J8" s="18">
        <v>1</v>
      </c>
      <c r="K8" s="19">
        <v>2</v>
      </c>
      <c r="L8" s="19">
        <v>3</v>
      </c>
      <c r="M8" s="19">
        <v>4</v>
      </c>
      <c r="N8" s="19">
        <v>5</v>
      </c>
      <c r="O8" s="19">
        <v>6</v>
      </c>
      <c r="P8" s="19">
        <v>7</v>
      </c>
      <c r="Q8" s="19">
        <v>8</v>
      </c>
      <c r="R8" s="19">
        <v>9</v>
      </c>
      <c r="S8" s="19">
        <v>10</v>
      </c>
      <c r="T8" s="19">
        <v>11</v>
      </c>
      <c r="U8" s="20">
        <v>12</v>
      </c>
      <c r="V8" s="24" t="s">
        <v>12</v>
      </c>
    </row>
    <row r="9" spans="1:22" ht="15.75" thickBot="1" x14ac:dyDescent="0.3">
      <c r="A9" s="32" t="s">
        <v>33</v>
      </c>
      <c r="B9" s="31" t="s">
        <v>17</v>
      </c>
      <c r="C9" s="31" t="s">
        <v>19</v>
      </c>
      <c r="D9" s="36">
        <v>-1</v>
      </c>
      <c r="E9" s="11">
        <v>-9999</v>
      </c>
      <c r="F9" s="33" t="s">
        <v>24</v>
      </c>
      <c r="G9" s="33" t="s">
        <v>23</v>
      </c>
      <c r="H9" s="31" t="s">
        <v>28</v>
      </c>
      <c r="I9" s="34" t="s">
        <v>25</v>
      </c>
      <c r="J9" s="12">
        <v>-200000000</v>
      </c>
      <c r="K9" s="13">
        <v>-400000000</v>
      </c>
      <c r="L9" s="13">
        <v>-600000000</v>
      </c>
      <c r="M9" s="43">
        <v>-800000000</v>
      </c>
      <c r="N9" s="13">
        <v>-1000000000</v>
      </c>
      <c r="O9" s="13">
        <v>-1200000000</v>
      </c>
      <c r="P9" s="43">
        <v>-1400000000</v>
      </c>
      <c r="Q9" s="13">
        <v>-1600000000</v>
      </c>
      <c r="R9" s="13">
        <v>-1800000000</v>
      </c>
      <c r="S9" s="43">
        <v>-2000000000</v>
      </c>
      <c r="T9" s="13">
        <v>-2200000000</v>
      </c>
      <c r="U9" s="14">
        <v>-2400000000</v>
      </c>
      <c r="V9" s="15">
        <f>SUM(J9:U9)</f>
        <v>-15600000000</v>
      </c>
    </row>
  </sheetData>
  <mergeCells count="2">
    <mergeCell ref="B2:F2"/>
    <mergeCell ref="B4:F4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1"/>
  <dimension ref="A1:V9"/>
  <sheetViews>
    <sheetView showGridLines="0" workbookViewId="0">
      <pane ySplit="8" topLeftCell="A9" activePane="bottomLeft" state="frozen"/>
      <selection activeCell="F1" sqref="F1"/>
      <selection pane="bottomLeft"/>
    </sheetView>
  </sheetViews>
  <sheetFormatPr baseColWidth="10" defaultRowHeight="15" x14ac:dyDescent="0.25"/>
  <cols>
    <col min="1" max="1" width="50" customWidth="1"/>
    <col min="3" max="3" width="29.85546875" customWidth="1"/>
    <col min="4" max="4" width="10.28515625" customWidth="1"/>
    <col min="6" max="6" width="24.42578125" customWidth="1"/>
    <col min="7" max="7" width="19.5703125" customWidth="1"/>
    <col min="8" max="8" width="22.85546875" customWidth="1"/>
    <col min="9" max="9" width="43" customWidth="1"/>
    <col min="10" max="21" width="14.28515625" customWidth="1"/>
    <col min="22" max="22" width="15.140625" style="2" customWidth="1"/>
  </cols>
  <sheetData>
    <row r="1" spans="1:22" ht="15.75" thickBot="1" x14ac:dyDescent="0.3">
      <c r="A1" s="1" t="s">
        <v>13</v>
      </c>
    </row>
    <row r="2" spans="1:22" ht="15.75" thickBot="1" x14ac:dyDescent="0.3">
      <c r="A2" s="3" t="s">
        <v>1</v>
      </c>
      <c r="B2" s="37" t="s">
        <v>27</v>
      </c>
      <c r="C2" s="38"/>
      <c r="D2" s="38"/>
      <c r="E2" s="38"/>
      <c r="F2" s="39"/>
    </row>
    <row r="3" spans="1:22" ht="15.75" thickBot="1" x14ac:dyDescent="0.3"/>
    <row r="4" spans="1:22" ht="15.75" thickBot="1" x14ac:dyDescent="0.3">
      <c r="A4" s="3" t="s">
        <v>2</v>
      </c>
      <c r="B4" s="40" t="s">
        <v>14</v>
      </c>
      <c r="C4" s="41"/>
      <c r="D4" s="41"/>
      <c r="E4" s="41"/>
      <c r="F4" s="42"/>
    </row>
    <row r="5" spans="1:22" x14ac:dyDescent="0.25">
      <c r="A5" s="35" t="s">
        <v>26</v>
      </c>
      <c r="F5" t="s">
        <v>21</v>
      </c>
    </row>
    <row r="6" spans="1:22" ht="15.75" thickBot="1" x14ac:dyDescent="0.3">
      <c r="F6" t="s">
        <v>22</v>
      </c>
      <c r="J6" s="22" t="s">
        <v>30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5"/>
    </row>
    <row r="7" spans="1:22" ht="15.75" thickBot="1" x14ac:dyDescent="0.3">
      <c r="F7" t="s">
        <v>29</v>
      </c>
      <c r="J7" s="17">
        <v>2017</v>
      </c>
      <c r="K7" s="6"/>
      <c r="L7" s="6"/>
      <c r="M7" s="7" t="s">
        <v>15</v>
      </c>
      <c r="N7" s="6"/>
      <c r="O7" s="6"/>
      <c r="P7" s="6"/>
      <c r="Q7" s="6"/>
      <c r="R7" s="6"/>
      <c r="S7" s="6"/>
      <c r="T7" s="6"/>
      <c r="U7" s="6"/>
      <c r="V7" s="23" t="s">
        <v>35</v>
      </c>
    </row>
    <row r="8" spans="1:22" x14ac:dyDescent="0.25">
      <c r="A8" s="25" t="s">
        <v>5</v>
      </c>
      <c r="B8" s="26" t="s">
        <v>6</v>
      </c>
      <c r="C8" s="27" t="s">
        <v>18</v>
      </c>
      <c r="D8" s="28" t="s">
        <v>20</v>
      </c>
      <c r="E8" s="27" t="s">
        <v>7</v>
      </c>
      <c r="F8" s="29" t="s">
        <v>8</v>
      </c>
      <c r="G8" s="29" t="s">
        <v>9</v>
      </c>
      <c r="H8" s="27" t="s">
        <v>10</v>
      </c>
      <c r="I8" s="30" t="s">
        <v>11</v>
      </c>
      <c r="J8" s="18">
        <v>1</v>
      </c>
      <c r="K8" s="19">
        <v>2</v>
      </c>
      <c r="L8" s="19">
        <v>3</v>
      </c>
      <c r="M8" s="19">
        <v>4</v>
      </c>
      <c r="N8" s="19">
        <v>5</v>
      </c>
      <c r="O8" s="19">
        <v>6</v>
      </c>
      <c r="P8" s="19">
        <v>7</v>
      </c>
      <c r="Q8" s="19">
        <v>8</v>
      </c>
      <c r="R8" s="19">
        <v>9</v>
      </c>
      <c r="S8" s="19">
        <v>10</v>
      </c>
      <c r="T8" s="19">
        <v>11</v>
      </c>
      <c r="U8" s="20">
        <v>12</v>
      </c>
      <c r="V8" s="24" t="s">
        <v>16</v>
      </c>
    </row>
    <row r="9" spans="1:22" ht="15.75" thickBot="1" x14ac:dyDescent="0.3">
      <c r="A9" s="32" t="s">
        <v>33</v>
      </c>
      <c r="B9" s="31" t="s">
        <v>17</v>
      </c>
      <c r="C9" s="31" t="s">
        <v>19</v>
      </c>
      <c r="D9" s="36">
        <v>-1</v>
      </c>
      <c r="E9" s="11">
        <v>-1000</v>
      </c>
      <c r="F9" s="31" t="s">
        <v>24</v>
      </c>
      <c r="G9" s="31" t="s">
        <v>23</v>
      </c>
      <c r="H9" s="31" t="s">
        <v>28</v>
      </c>
      <c r="I9" s="31" t="s">
        <v>25</v>
      </c>
      <c r="J9" s="8">
        <v>-100000000</v>
      </c>
      <c r="K9" s="9">
        <v>-200000000</v>
      </c>
      <c r="L9" s="9">
        <v>-300000000</v>
      </c>
      <c r="M9" s="44">
        <v>-400000000</v>
      </c>
      <c r="N9" s="9">
        <v>-500000000</v>
      </c>
      <c r="O9" s="9">
        <v>-600000000</v>
      </c>
      <c r="P9" s="44">
        <v>-700000000</v>
      </c>
      <c r="Q9" s="9">
        <v>-800000000</v>
      </c>
      <c r="R9" s="9">
        <v>-900000000</v>
      </c>
      <c r="S9" s="44">
        <v>-1000000000</v>
      </c>
      <c r="T9" s="9">
        <v>-1100000000</v>
      </c>
      <c r="U9" s="10">
        <v>-1200000000</v>
      </c>
      <c r="V9" s="16">
        <f>SUM(J9:U9)</f>
        <v>-7800000000</v>
      </c>
    </row>
  </sheetData>
  <mergeCells count="2">
    <mergeCell ref="B2:F2"/>
    <mergeCell ref="B4:F4"/>
  </mergeCell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Consumo_Energetico</vt:lpstr>
      <vt:lpstr>Gasto_Energetico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Molina Huerta</dc:creator>
  <cp:lastModifiedBy>Iván Molina Huerta</cp:lastModifiedBy>
  <dcterms:created xsi:type="dcterms:W3CDTF">2020-06-08T13:23:22Z</dcterms:created>
  <dcterms:modified xsi:type="dcterms:W3CDTF">2020-07-29T14:22:38Z</dcterms:modified>
</cp:coreProperties>
</file>